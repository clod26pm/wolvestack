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icle Scorecard" sheetId="1" state="visible" r:id="rId3"/>
    <sheet name="Summary Statist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<sst xmlns="http://schemas.openxmlformats.org/spreadsheetml/2006/main" count="82" uniqueCount="82">
  <si>
    <t xml:space="preserve">Article</t>
  </si>
  <si>
    <t xml:space="preserve">File Name</t>
  </si>
  <si>
    <t xml:space="preserve">Current Grade</t>
  </si>
  <si>
    <t xml:space="preserve">Word Count</t>
  </si>
  <si>
    <t xml:space="preserve">Content Depth</t>
  </si>
  <si>
    <t xml:space="preserve">SEO Optimization</t>
  </si>
  <si>
    <t xml:space="preserve">Affiliate Links</t>
  </si>
  <si>
    <t xml:space="preserve">Mobile Ready</t>
  </si>
  <si>
    <t xml:space="preserve">Professionalism</t>
  </si>
  <si>
    <t xml:space="preserve">Key Issues</t>
  </si>
  <si>
    <t xml:space="preserve">Priority Fix</t>
  </si>
  <si>
    <t xml:space="preserve">To Reach 9/10</t>
  </si>
  <si>
    <t xml:space="preserve">BPC-157 Guide</t>
  </si>
  <si>
    <t xml:space="preserve">bpc-157-guide.html</t>
  </si>
  <si>
    <t xml:space="preserve">Missing image assets, inconsistent affiliate tracking, date schema error</t>
  </si>
  <si>
    <t xml:space="preserve">Add OG images, fix schema dates, implement UTM params</t>
  </si>
  <si>
    <t xml:space="preserve">Add key takeaways box, enhance safety sections</t>
  </si>
  <si>
    <t xml:space="preserve">TB-500 Guide</t>
  </si>
  <si>
    <t xml:space="preserve">tb-500-guide.html</t>
  </si>
  <si>
    <t xml:space="preserve">Missing images, affiliate tracking inconsistent, schema could be simpler</t>
  </si>
  <si>
    <t xml:space="preserve">Standardize affiliate URLs, add visual comparison table</t>
  </si>
  <si>
    <t xml:space="preserve">Create TB-500 vs Tβ4 visual comparison, expand clinical research</t>
  </si>
  <si>
    <t xml:space="preserve">Wolverine Stack</t>
  </si>
  <si>
    <t xml:space="preserve">wolverine-stack.html</t>
  </si>
  <si>
    <t xml:space="preserve">Missing OG images, affiliate links inconsistent formatting</t>
  </si>
  <si>
    <t xml:space="preserve">Standardize affiliate link structure across all pages</t>
  </si>
  <si>
    <t xml:space="preserve">Add healing timeline chart, injury-specific protocols, safety comparison</t>
  </si>
  <si>
    <t xml:space="preserve">Beginners Guide</t>
  </si>
  <si>
    <t xml:space="preserve">peptide-beginners-guide.html</t>
  </si>
  <si>
    <t xml:space="preserve">Quick Answer styling incomplete, limited affiliate recommendations, no visual dosing help</t>
  </si>
  <si>
    <t xml:space="preserve">Expand sourcing vendor comparison, add selection flowchart</t>
  </si>
  <si>
    <t xml:space="preserve">Create dosing flowchart, add first injection visual guide, vendor table</t>
  </si>
  <si>
    <t xml:space="preserve">Peptide Calculator</t>
  </si>
  <si>
    <t xml:space="preserve">peptide-calculator.html</t>
  </si>
  <si>
    <t xml:space="preserve">No input validation, mobile layout may not stack, no affiliate links, incomplete table</t>
  </si>
  <si>
    <t xml:space="preserve">Add input validation, test mobile responsiveness, add affiliate links</t>
  </si>
  <si>
    <t xml:space="preserve">Implement save/load functionality, add cost calculator, improve mobile UX</t>
  </si>
  <si>
    <t xml:space="preserve">BPC-157 Timeline</t>
  </si>
  <si>
    <t xml:space="preserve">bpc-157-results-timeline.html</t>
  </si>
  <si>
    <t xml:space="preserve">No visual timeline, variability not emphasized, dosing impact unclear</t>
  </si>
  <si>
    <t xml:space="preserve">Create HTML5 timeline visualization, add injury-type sections</t>
  </si>
  <si>
    <t xml:space="preserve">Add visual CSS timeline, create separate acute vs chronic timelines, add plateau discussion</t>
  </si>
  <si>
    <t xml:space="preserve">CJC-1295 Results</t>
  </si>
  <si>
    <t xml:space="preserve">cjc-1295-ipamorelin-results.html</t>
  </si>
  <si>
    <t xml:space="preserve">Title unclear, limited athletic performance focus, no cost analysis, side effect timing missing</t>
  </si>
  <si>
    <t xml:space="preserve">Add athlete-specific results section, create cost-benefit analysis</t>
  </si>
  <si>
    <t xml:space="preserve">Add before/after timeline graph, implement results confidence index, expand athletic guidance</t>
  </si>
  <si>
    <t xml:space="preserve">Cycling Guide</t>
  </si>
  <si>
    <t xml:space="preserve">peptide-cycling-guide.html</t>
  </si>
  <si>
    <t xml:space="preserve">MAJOR: Content too thin (308 lines), sparse structure, incomplete GH section, missing key sections</t>
  </si>
  <si>
    <t xml:space="preserve">Expand GH secretagogue section, add protocol examples, create visual schedules</t>
  </si>
  <si>
    <t xml:space="preserve">Add receptor desensitization science section, compound-specific protocols, downloadable templates</t>
  </si>
  <si>
    <t xml:space="preserve">Peptides vs HGH</t>
  </si>
  <si>
    <t xml:space="preserve">peptides-vs-hgh.html</t>
  </si>
  <si>
    <t xml:space="preserve">CRITICAL: Content depth insufficient (350 lines), incomplete comparison, missing cost/safety analysis</t>
  </si>
  <si>
    <t xml:space="preserve">Expand to 4000+ words, add detailed comparison sections, include cost breakdown</t>
  </si>
  <si>
    <t xml:space="preserve">Create cost per effect analysis, add detailed side profile table, build decision tree for HGH vs peptides</t>
  </si>
  <si>
    <t xml:space="preserve">Reconstitute Calculator</t>
  </si>
  <si>
    <t xml:space="preserve">how-to-reconstitute-peptides-calculator.html</t>
  </si>
  <si>
    <t xml:space="preserve">No visual instructions, missing common mistakes, storage info limited, validation unclear</t>
  </si>
  <si>
    <t xml:space="preserve">Add visual diagrams or video references, include contamination checklist</t>
  </si>
  <si>
    <t xml:space="preserve">Add animated GIFs, create video reference links, include stability/storage table, add troubleshooting guide</t>
  </si>
  <si>
    <t xml:space="preserve">Dosing Calculator Guide</t>
  </si>
  <si>
    <t xml:space="preserve">peptide-dosing-calculator-guide.html</t>
  </si>
  <si>
    <t xml:space="preserve">Limited cross-linking, no dose validation warnings, missing error section, no batch comparison</t>
  </si>
  <si>
    <t xml:space="preserve">Add dose range validation, improve related content links, test on mobile</t>
  </si>
  <si>
    <t xml:space="preserve">Add concentration calculator, implement dose comparison saving, expand by peptide type</t>
  </si>
  <si>
    <t xml:space="preserve">Homepage</t>
  </si>
  <si>
    <t xml:space="preserve">index.html</t>
  </si>
  <si>
    <t xml:space="preserve">Links to 40+ non-existent articles (404 risk), email form config unclear, trust bar incomplete</t>
  </si>
  <si>
    <t xml:space="preserve">Audit and remove broken links or create stubs, verify email worker configuration</t>
  </si>
  <si>
    <t xml:space="preserve">Create category filters, add testimonials, implement featured article rotation</t>
  </si>
  <si>
    <t xml:space="preserve">WolveStack Content Audit Summary</t>
  </si>
  <si>
    <t xml:space="preserve">Total Articles Audited</t>
  </si>
  <si>
    <t xml:space="preserve">Average Grade</t>
  </si>
  <si>
    <t xml:space="preserve">Highest Grade</t>
  </si>
  <si>
    <t xml:space="preserve">Lowest Grade</t>
  </si>
  <si>
    <t xml:space="preserve">Articles Above 8.0</t>
  </si>
  <si>
    <t xml:space="preserve">Articles 7.0-7.9</t>
  </si>
  <si>
    <t xml:space="preserve">Articles Below 7.0</t>
  </si>
  <si>
    <t xml:space="preserve">Average Word Count</t>
  </si>
  <si>
    <t xml:space="preserve">Total Words Across All Articles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</si>
</sst>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2240"/>
        <bgColor rgb="FF333333"/>
      </patternFill>
    </fill>
    <fill>
      <patternFill patternType="solid">
        <fgColor rgb="FFD4EDDA"/>
        <bgColor rgb="FFD1ECF1"/>
      </patternFill>
    </fill>
    <fill>
      <patternFill patternType="solid">
        <fgColor rgb="FFD1ECF1"/>
        <bgColor rgb="FFD4EDDA"/>
      </patternFill>
    </fill>
    <fill>
      <patternFill patternType="solid">
        <fgColor rgb="FFFFF3CD"/>
        <bgColor rgb="FFFFFFFF"/>
      </patternFill>
    </fill>
    <fill>
      <patternFill patternType="solid">
        <fgColor rgb="FFF8D7DA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1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2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2" min="10" style="0" width="30"/>
  </cols>
  <sheetData>
    <row r="1" customFormat="false" ht="29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5.05" hidden="false" customHeight="false" outlineLevel="0" collapsed="false">
      <c r="A2" s="2" t="s">
        <v>12</v>
      </c>
      <c r="B2" s="2" t="s">
        <v>13</v>
      </c>
      <c r="C2" s="3" t="n">
        <v>8.5</v>
      </c>
      <c r="D2" s="4" t="n">
        <v>5013</v>
      </c>
      <c r="E2" s="4" t="n">
        <v>8</v>
      </c>
      <c r="F2" s="4" t="n">
        <v>9</v>
      </c>
      <c r="G2" s="4" t="n">
        <v>7</v>
      </c>
      <c r="H2" s="4" t="n">
        <v>8</v>
      </c>
      <c r="I2" s="4" t="n">
        <v>9</v>
      </c>
      <c r="J2" s="2" t="s">
        <v>14</v>
      </c>
      <c r="K2" s="2" t="s">
        <v>15</v>
      </c>
      <c r="L2" s="2" t="s">
        <v>16</v>
      </c>
    </row>
    <row r="3" customFormat="false" ht="35.05" hidden="false" customHeight="false" outlineLevel="0" collapsed="false">
      <c r="A3" s="2" t="s">
        <v>17</v>
      </c>
      <c r="B3" s="2" t="s">
        <v>18</v>
      </c>
      <c r="C3" s="5" t="n">
        <v>8</v>
      </c>
      <c r="D3" s="6" t="n">
        <v>4200</v>
      </c>
      <c r="E3" s="6" t="n">
        <v>8</v>
      </c>
      <c r="F3" s="6" t="n">
        <v>8</v>
      </c>
      <c r="G3" s="6" t="n">
        <v>6</v>
      </c>
      <c r="H3" s="6" t="n">
        <v>8</v>
      </c>
      <c r="I3" s="6" t="n">
        <v>8</v>
      </c>
      <c r="J3" s="2" t="s">
        <v>19</v>
      </c>
      <c r="K3" s="2" t="s">
        <v>20</v>
      </c>
      <c r="L3" s="2" t="s">
        <v>21</v>
      </c>
    </row>
    <row r="4" customFormat="false" ht="35.05" hidden="false" customHeight="false" outlineLevel="0" collapsed="false">
      <c r="A4" s="2" t="s">
        <v>22</v>
      </c>
      <c r="B4" s="2" t="s">
        <v>23</v>
      </c>
      <c r="C4" s="3" t="n">
        <v>8.5</v>
      </c>
      <c r="D4" s="4" t="n">
        <v>6456</v>
      </c>
      <c r="E4" s="4" t="n">
        <v>9</v>
      </c>
      <c r="F4" s="4" t="n">
        <v>8</v>
      </c>
      <c r="G4" s="4" t="n">
        <v>6</v>
      </c>
      <c r="H4" s="4" t="n">
        <v>8</v>
      </c>
      <c r="I4" s="4" t="n">
        <v>9</v>
      </c>
      <c r="J4" s="2" t="s">
        <v>24</v>
      </c>
      <c r="K4" s="2" t="s">
        <v>25</v>
      </c>
      <c r="L4" s="2" t="s">
        <v>26</v>
      </c>
    </row>
    <row r="5" customFormat="false" ht="35.05" hidden="false" customHeight="false" outlineLevel="0" collapsed="false">
      <c r="A5" s="2" t="s">
        <v>27</v>
      </c>
      <c r="B5" s="2" t="s">
        <v>28</v>
      </c>
      <c r="C5" s="5" t="n">
        <v>8</v>
      </c>
      <c r="D5" s="6" t="n">
        <v>4200</v>
      </c>
      <c r="E5" s="6" t="n">
        <v>8</v>
      </c>
      <c r="F5" s="6" t="n">
        <v>8</v>
      </c>
      <c r="G5" s="6" t="n">
        <v>7</v>
      </c>
      <c r="H5" s="6" t="n">
        <v>8</v>
      </c>
      <c r="I5" s="6" t="n">
        <v>8</v>
      </c>
      <c r="J5" s="2" t="s">
        <v>29</v>
      </c>
      <c r="K5" s="2" t="s">
        <v>30</v>
      </c>
      <c r="L5" s="2" t="s">
        <v>31</v>
      </c>
    </row>
    <row r="6" customFormat="false" ht="35.05" hidden="false" customHeight="false" outlineLevel="0" collapsed="false">
      <c r="A6" s="2" t="s">
        <v>32</v>
      </c>
      <c r="B6" s="2" t="s">
        <v>33</v>
      </c>
      <c r="C6" s="7" t="n">
        <v>7.5</v>
      </c>
      <c r="D6" s="8" t="n">
        <v>2964</v>
      </c>
      <c r="E6" s="8" t="n">
        <v>7</v>
      </c>
      <c r="F6" s="8" t="n">
        <v>8</v>
      </c>
      <c r="G6" s="8" t="n">
        <v>5</v>
      </c>
      <c r="H6" s="8" t="n">
        <v>7</v>
      </c>
      <c r="I6" s="8" t="n">
        <v>8</v>
      </c>
      <c r="J6" s="2" t="s">
        <v>34</v>
      </c>
      <c r="K6" s="2" t="s">
        <v>35</v>
      </c>
      <c r="L6" s="2" t="s">
        <v>36</v>
      </c>
    </row>
    <row r="7" customFormat="false" ht="35.05" hidden="false" customHeight="false" outlineLevel="0" collapsed="false">
      <c r="A7" s="2" t="s">
        <v>37</v>
      </c>
      <c r="B7" s="2" t="s">
        <v>38</v>
      </c>
      <c r="C7" s="7" t="n">
        <v>7</v>
      </c>
      <c r="D7" s="8" t="n">
        <v>4500</v>
      </c>
      <c r="E7" s="8" t="n">
        <v>7</v>
      </c>
      <c r="F7" s="8" t="n">
        <v>7</v>
      </c>
      <c r="G7" s="8" t="n">
        <v>6</v>
      </c>
      <c r="H7" s="8" t="n">
        <v>7</v>
      </c>
      <c r="I7" s="8" t="n">
        <v>8</v>
      </c>
      <c r="J7" s="2" t="s">
        <v>39</v>
      </c>
      <c r="K7" s="2" t="s">
        <v>40</v>
      </c>
      <c r="L7" s="2" t="s">
        <v>41</v>
      </c>
    </row>
    <row r="8" customFormat="false" ht="35.05" hidden="false" customHeight="false" outlineLevel="0" collapsed="false">
      <c r="A8" s="2" t="s">
        <v>42</v>
      </c>
      <c r="B8" s="2" t="s">
        <v>43</v>
      </c>
      <c r="C8" s="7" t="n">
        <v>7.5</v>
      </c>
      <c r="D8" s="8" t="n">
        <v>4500</v>
      </c>
      <c r="E8" s="8" t="n">
        <v>7</v>
      </c>
      <c r="F8" s="8" t="n">
        <v>7</v>
      </c>
      <c r="G8" s="8" t="n">
        <v>6</v>
      </c>
      <c r="H8" s="8" t="n">
        <v>8</v>
      </c>
      <c r="I8" s="8" t="n">
        <v>8</v>
      </c>
      <c r="J8" s="2" t="s">
        <v>44</v>
      </c>
      <c r="K8" s="2" t="s">
        <v>45</v>
      </c>
      <c r="L8" s="2" t="s">
        <v>46</v>
      </c>
    </row>
    <row r="9" customFormat="false" ht="46.25" hidden="false" customHeight="false" outlineLevel="0" collapsed="false">
      <c r="A9" s="2" t="s">
        <v>47</v>
      </c>
      <c r="B9" s="2" t="s">
        <v>48</v>
      </c>
      <c r="C9" s="9" t="n">
        <v>6.5</v>
      </c>
      <c r="D9" s="10" t="n">
        <v>2764</v>
      </c>
      <c r="E9" s="10" t="n">
        <v>6</v>
      </c>
      <c r="F9" s="10" t="n">
        <v>7</v>
      </c>
      <c r="G9" s="10" t="n">
        <v>5</v>
      </c>
      <c r="H9" s="10" t="n">
        <v>7</v>
      </c>
      <c r="I9" s="10" t="n">
        <v>7</v>
      </c>
      <c r="J9" s="2" t="s">
        <v>49</v>
      </c>
      <c r="K9" s="2" t="s">
        <v>50</v>
      </c>
      <c r="L9" s="2" t="s">
        <v>51</v>
      </c>
    </row>
    <row r="10" customFormat="false" ht="46.25" hidden="false" customHeight="false" outlineLevel="0" collapsed="false">
      <c r="A10" s="2" t="s">
        <v>52</v>
      </c>
      <c r="B10" s="2" t="s">
        <v>53</v>
      </c>
      <c r="C10" s="9" t="n">
        <v>6</v>
      </c>
      <c r="D10" s="10" t="n">
        <v>2000</v>
      </c>
      <c r="E10" s="10" t="n">
        <v>5</v>
      </c>
      <c r="F10" s="10" t="n">
        <v>6</v>
      </c>
      <c r="G10" s="10" t="n">
        <v>4</v>
      </c>
      <c r="H10" s="10" t="n">
        <v>6</v>
      </c>
      <c r="I10" s="10" t="n">
        <v>6</v>
      </c>
      <c r="J10" s="2" t="s">
        <v>54</v>
      </c>
      <c r="K10" s="2" t="s">
        <v>55</v>
      </c>
      <c r="L10" s="2" t="s">
        <v>56</v>
      </c>
    </row>
    <row r="11" customFormat="false" ht="46.25" hidden="false" customHeight="false" outlineLevel="0" collapsed="false">
      <c r="A11" s="2" t="s">
        <v>57</v>
      </c>
      <c r="B11" s="2" t="s">
        <v>58</v>
      </c>
      <c r="C11" s="7" t="n">
        <v>7</v>
      </c>
      <c r="D11" s="8" t="n">
        <v>2400</v>
      </c>
      <c r="E11" s="8" t="n">
        <v>7</v>
      </c>
      <c r="F11" s="8" t="n">
        <v>7</v>
      </c>
      <c r="G11" s="8" t="n">
        <v>6</v>
      </c>
      <c r="H11" s="8" t="n">
        <v>6</v>
      </c>
      <c r="I11" s="8" t="n">
        <v>8</v>
      </c>
      <c r="J11" s="2" t="s">
        <v>59</v>
      </c>
      <c r="K11" s="2" t="s">
        <v>60</v>
      </c>
      <c r="L11" s="2" t="s">
        <v>61</v>
      </c>
    </row>
    <row r="12" customFormat="false" ht="35.05" hidden="false" customHeight="false" outlineLevel="0" collapsed="false">
      <c r="A12" s="2" t="s">
        <v>62</v>
      </c>
      <c r="B12" s="2" t="s">
        <v>63</v>
      </c>
      <c r="C12" s="7" t="n">
        <v>7.5</v>
      </c>
      <c r="D12" s="8" t="n">
        <v>2500</v>
      </c>
      <c r="E12" s="8" t="n">
        <v>7</v>
      </c>
      <c r="F12" s="8" t="n">
        <v>8</v>
      </c>
      <c r="G12" s="8" t="n">
        <v>5</v>
      </c>
      <c r="H12" s="8" t="n">
        <v>7</v>
      </c>
      <c r="I12" s="8" t="n">
        <v>8</v>
      </c>
      <c r="J12" s="2" t="s">
        <v>64</v>
      </c>
      <c r="K12" s="2" t="s">
        <v>65</v>
      </c>
      <c r="L12" s="2" t="s">
        <v>66</v>
      </c>
    </row>
    <row r="13" customFormat="false" ht="35.05" hidden="false" customHeight="false" outlineLevel="0" collapsed="false">
      <c r="A13" s="2" t="s">
        <v>67</v>
      </c>
      <c r="B13" s="2" t="s">
        <v>68</v>
      </c>
      <c r="C13" s="5" t="n">
        <v>8</v>
      </c>
      <c r="D13" s="6" t="n">
        <v>4484</v>
      </c>
      <c r="E13" s="6" t="n">
        <v>8</v>
      </c>
      <c r="F13" s="6" t="n">
        <v>8</v>
      </c>
      <c r="G13" s="6" t="n">
        <v>7</v>
      </c>
      <c r="H13" s="6" t="n">
        <v>8</v>
      </c>
      <c r="I13" s="6" t="n">
        <v>9</v>
      </c>
      <c r="J13" s="2" t="s">
        <v>69</v>
      </c>
      <c r="K13" s="2" t="s">
        <v>70</v>
      </c>
      <c r="L13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</cols>
  <sheetData>
    <row r="1" customFormat="false" ht="17.9" hidden="false" customHeight="true" outlineLevel="0" collapsed="false">
      <c r="A1" s="11" t="s">
        <v>72</v>
      </c>
      <c r="B1" s="11"/>
      <c r="C1" s="11"/>
    </row>
    <row r="3" customFormat="false" ht="15" hidden="false" customHeight="false" outlineLevel="0" collapsed="false">
      <c r="A3" s="12" t="s">
        <v>73</v>
      </c>
      <c r="B3" s="13" t="n">
        <v>12</v>
      </c>
    </row>
    <row r="4" customFormat="false" ht="15" hidden="false" customHeight="false" outlineLevel="0" collapsed="false">
      <c r="A4" s="12" t="s">
        <v>74</v>
      </c>
      <c r="B4" s="13" t="n">
        <f aca="false">AVERAGE('Article Scorecard'!C2:C13)</f>
        <v>7.5</v>
      </c>
    </row>
    <row r="5" customFormat="false" ht="15" hidden="false" customHeight="false" outlineLevel="0" collapsed="false">
      <c r="A5" s="12" t="s">
        <v>75</v>
      </c>
      <c r="B5" s="13" t="n">
        <f aca="false">MAX('Article Scorecard'!C2:C13)</f>
        <v>8.5</v>
      </c>
    </row>
    <row r="6" customFormat="false" ht="15" hidden="false" customHeight="false" outlineLevel="0" collapsed="false">
      <c r="A6" s="12" t="s">
        <v>76</v>
      </c>
      <c r="B6" s="13" t="n">
        <f aca="false">MIN('Article Scorecard'!C2:C13)</f>
        <v>6</v>
      </c>
    </row>
    <row r="7" customFormat="false" ht="15" hidden="false" customHeight="false" outlineLevel="0" collapsed="false">
      <c r="A7" s="12" t="s">
        <v>77</v>
      </c>
      <c r="B7" s="13" t="n">
        <f aca="false">COUNTIF('Article Scorecard'!C2:C13,"&gt;8")</f>
        <v>2</v>
      </c>
    </row>
    <row r="8" customFormat="false" ht="15" hidden="false" customHeight="false" outlineLevel="0" collapsed="false">
      <c r="A8" s="12" t="s">
        <v>78</v>
      </c>
      <c r="B8" s="13" t="n">
        <f aca="false">COUNTIF('Article Scorecard'!C2:C13,"&gt;=7") - COUNTIF('Article Scorecard'!C2:C13,"&gt;8")</f>
        <v>8</v>
      </c>
    </row>
    <row r="9" customFormat="false" ht="15" hidden="false" customHeight="false" outlineLevel="0" collapsed="false">
      <c r="A9" s="12" t="s">
        <v>79</v>
      </c>
      <c r="B9" s="13" t="n">
        <f aca="false">COUNTIF('Article Scorecard'!C2:C13,"&lt;7")</f>
        <v>2</v>
      </c>
    </row>
    <row r="10" customFormat="false" ht="15" hidden="false" customHeight="false" outlineLevel="0" collapsed="false">
      <c r="A10" s="12"/>
      <c r="B10" s="13"/>
    </row>
    <row r="11" customFormat="false" ht="15" hidden="false" customHeight="false" outlineLevel="0" collapsed="false">
      <c r="A11" s="12" t="s">
        <v>80</v>
      </c>
      <c r="B11" s="13" t="n">
        <f aca="false">AVERAGE('Article Scorecard'!D2:D13)</f>
        <v>3831.75</v>
      </c>
    </row>
    <row r="12" customFormat="false" ht="15" hidden="false" customHeight="false" outlineLevel="0" collapsed="false">
      <c r="A12" s="12" t="s">
        <v>81</v>
      </c>
      <c r="B12" s="13" t="n">
        <f aca="false">SUM('Article Scorecard'!D2:D13)</f>
        <v>45981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2026-03-25T05:37:15Z</dcterms:created>
  <dc:creator>openpyxl</dc:creator>
  <dc:description/>
  <dc:language>en-US</dc:language>
  <cp:lastModifiedBy/>
  <dcterms:modified xsi:type="dcterms:W3CDTF">2026-03-25T05:37:15Z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